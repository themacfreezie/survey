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cgreal\Documents\dissertation\survey\data\clean\"/>
    </mc:Choice>
  </mc:AlternateContent>
  <xr:revisionPtr revIDLastSave="0" documentId="13_ncr:1_{6B1CCA80-1AFF-4778-A89F-58E3E044C8F4}" xr6:coauthVersionLast="47" xr6:coauthVersionMax="47" xr10:uidLastSave="{00000000-0000-0000-0000-000000000000}"/>
  <bookViews>
    <workbookView xWindow="-57720" yWindow="-120" windowWidth="29040" windowHeight="15720" activeTab="1" xr2:uid="{70F81E01-4849-42CD-AB9B-9414582B1355}"/>
  </bookViews>
  <sheets>
    <sheet name="Sheet1" sheetId="1" r:id="rId1"/>
    <sheet name="F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E29" i="2"/>
  <c r="E28" i="2"/>
  <c r="E27" i="2"/>
  <c r="E26" i="2"/>
  <c r="E25" i="2"/>
  <c r="E24" i="2"/>
  <c r="E23" i="2"/>
  <c r="E21" i="2"/>
  <c r="E20" i="2"/>
  <c r="E19" i="2"/>
  <c r="E18" i="2"/>
  <c r="E17" i="2"/>
  <c r="E16" i="2"/>
  <c r="E15" i="2"/>
  <c r="E14" i="2"/>
  <c r="E13" i="2"/>
  <c r="E12" i="2"/>
  <c r="E10" i="2"/>
  <c r="E9" i="2"/>
  <c r="E8" i="2"/>
  <c r="E7" i="2"/>
  <c r="E6" i="2"/>
  <c r="E5" i="2"/>
  <c r="E4" i="2"/>
  <c r="E3" i="2"/>
  <c r="E2" i="2"/>
  <c r="N30" i="1"/>
  <c r="O30" i="1" s="1"/>
  <c r="M30" i="1"/>
  <c r="N29" i="1"/>
  <c r="M29" i="1"/>
  <c r="O29" i="1" s="1"/>
  <c r="N28" i="1"/>
  <c r="M28" i="1"/>
  <c r="O28" i="1" s="1"/>
  <c r="N27" i="1"/>
  <c r="M27" i="1"/>
  <c r="O27" i="1" s="1"/>
  <c r="N26" i="1"/>
  <c r="M26" i="1"/>
  <c r="O26" i="1" s="1"/>
  <c r="N25" i="1"/>
  <c r="M25" i="1"/>
  <c r="O25" i="1" s="1"/>
  <c r="N24" i="1"/>
  <c r="M24" i="1"/>
  <c r="O24" i="1" s="1"/>
  <c r="N23" i="1"/>
  <c r="M23" i="1"/>
  <c r="O23" i="1" s="1"/>
  <c r="N21" i="1"/>
  <c r="M21" i="1"/>
  <c r="N20" i="1"/>
  <c r="M20" i="1"/>
  <c r="O20" i="1" s="1"/>
  <c r="N19" i="1"/>
  <c r="M19" i="1"/>
  <c r="O19" i="1" s="1"/>
  <c r="N18" i="1"/>
  <c r="M18" i="1"/>
  <c r="O18" i="1" s="1"/>
  <c r="N17" i="1"/>
  <c r="M17" i="1"/>
  <c r="O17" i="1" s="1"/>
  <c r="N16" i="1"/>
  <c r="M16" i="1"/>
  <c r="O16" i="1" s="1"/>
  <c r="N15" i="1"/>
  <c r="M15" i="1"/>
  <c r="O15" i="1" s="1"/>
  <c r="N14" i="1"/>
  <c r="M14" i="1"/>
  <c r="O14" i="1" s="1"/>
  <c r="N13" i="1"/>
  <c r="M13" i="1"/>
  <c r="O13" i="1" s="1"/>
  <c r="N12" i="1"/>
  <c r="M12" i="1"/>
  <c r="O12" i="1" s="1"/>
  <c r="N2" i="1"/>
  <c r="O10" i="1"/>
  <c r="O9" i="1"/>
  <c r="O8" i="1"/>
  <c r="O7" i="1"/>
  <c r="O6" i="1"/>
  <c r="O5" i="1"/>
  <c r="O4" i="1"/>
  <c r="O3" i="1"/>
  <c r="O2" i="1"/>
  <c r="N10" i="1"/>
  <c r="N9" i="1"/>
  <c r="N8" i="1"/>
  <c r="N7" i="1"/>
  <c r="N6" i="1"/>
  <c r="N5" i="1"/>
  <c r="N4" i="1"/>
  <c r="N3" i="1"/>
  <c r="M10" i="1"/>
  <c r="M9" i="1"/>
  <c r="M8" i="1"/>
  <c r="M7" i="1"/>
  <c r="M6" i="1"/>
  <c r="M5" i="1"/>
  <c r="M4" i="1"/>
  <c r="M3" i="1"/>
  <c r="M2" i="1"/>
  <c r="O21" i="1" l="1"/>
</calcChain>
</file>

<file path=xl/sharedStrings.xml><?xml version="1.0" encoding="utf-8"?>
<sst xmlns="http://schemas.openxmlformats.org/spreadsheetml/2006/main" count="78" uniqueCount="38">
  <si>
    <t>Chinook</t>
  </si>
  <si>
    <t>Method</t>
  </si>
  <si>
    <t>Bias</t>
  </si>
  <si>
    <t>Variance</t>
  </si>
  <si>
    <t>Dam counts</t>
  </si>
  <si>
    <t>Dam counts + Expansion below dam</t>
  </si>
  <si>
    <t>Peak redd count expansion * Fish per redd estimate</t>
  </si>
  <si>
    <t>Peak spawner count expansion</t>
  </si>
  <si>
    <t>Redd count expansion * Fish per redd estimate</t>
  </si>
  <si>
    <t>Total redd counts * Fish per redd estimate</t>
  </si>
  <si>
    <t>Mark-Recapture estimate at weir + Redd count expansion * Fish per redd estimate</t>
  </si>
  <si>
    <t>Area Under Curve Population (Total live spawners)</t>
  </si>
  <si>
    <t>Code</t>
  </si>
  <si>
    <t>Peak redd counts * Fish per redd estimate</t>
  </si>
  <si>
    <t>Coho</t>
  </si>
  <si>
    <t>Area Under Curve: Monitoring Area (Peak count)</t>
  </si>
  <si>
    <t>Area Under Curve: Monitoring Area (Total live spawners)</t>
  </si>
  <si>
    <t>Area Under Curve Population (Total live spawners) + Dam counts</t>
  </si>
  <si>
    <t>Area Under Curve Population (Total live spawners) + Hatchery counts</t>
  </si>
  <si>
    <t>Area Under Curve Population (Total live spawners) + In-river weir counts</t>
  </si>
  <si>
    <t>Dam counts (Video)</t>
  </si>
  <si>
    <t>Peak spawner count per mile expansion</t>
  </si>
  <si>
    <t>Steelhead</t>
  </si>
  <si>
    <t>In-river weir counts</t>
  </si>
  <si>
    <t>Mark-Recapture estimate at weir</t>
  </si>
  <si>
    <t>Total redd counts * Fish per redd estimate + Dam counts</t>
  </si>
  <si>
    <t>Survey Method</t>
  </si>
  <si>
    <t>Species</t>
  </si>
  <si>
    <t>New Bias</t>
  </si>
  <si>
    <t>NewVar</t>
  </si>
  <si>
    <t>Afull Bias</t>
  </si>
  <si>
    <t>Afull Var</t>
  </si>
  <si>
    <t>BreaksAful</t>
  </si>
  <si>
    <t>BreaksNew</t>
  </si>
  <si>
    <t>Diff</t>
  </si>
  <si>
    <t>Precision</t>
  </si>
  <si>
    <t>CoeffVar</t>
  </si>
  <si>
    <t>Coeff. of Variation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</si>
</sst>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34F8-B11A-4935-8120-0620CA328AA2}">
  <dimension ref="A1:Q30"/>
  <sheetViews>
    <sheetView workbookViewId="0">
      <selection activeCell="Q2" sqref="Q2:Q30"/>
    </sheetView>
  </sheetViews>
  <sheetFormatPr defaultRowHeight="14.5" x14ac:dyDescent="0.35"/>
  <cols>
    <col min="1" max="1" width="10" bestFit="1" customWidth="1"/>
    <col min="3" max="3" width="75.453125" bestFit="1" customWidth="1"/>
  </cols>
  <sheetData>
    <row r="1" spans="1:17" x14ac:dyDescent="0.35">
      <c r="B1" t="s">
        <v>12</v>
      </c>
      <c r="C1" t="s">
        <v>1</v>
      </c>
      <c r="D1" t="s">
        <v>2</v>
      </c>
      <c r="E1" t="s">
        <v>3</v>
      </c>
      <c r="G1" t="s">
        <v>28</v>
      </c>
      <c r="H1" t="s">
        <v>29</v>
      </c>
      <c r="J1" t="s">
        <v>30</v>
      </c>
      <c r="K1" t="s">
        <v>31</v>
      </c>
      <c r="M1" t="s">
        <v>32</v>
      </c>
      <c r="N1" t="s">
        <v>33</v>
      </c>
      <c r="O1" t="s">
        <v>34</v>
      </c>
      <c r="Q1" t="s">
        <v>36</v>
      </c>
    </row>
    <row r="2" spans="1:17" x14ac:dyDescent="0.35">
      <c r="A2" t="s">
        <v>0</v>
      </c>
      <c r="B2">
        <v>3</v>
      </c>
      <c r="C2" t="s">
        <v>11</v>
      </c>
      <c r="D2">
        <v>-1.36</v>
      </c>
      <c r="E2">
        <v>3.22</v>
      </c>
      <c r="G2">
        <v>-1.75</v>
      </c>
      <c r="H2">
        <v>3.4</v>
      </c>
      <c r="J2">
        <v>-2.08</v>
      </c>
      <c r="K2">
        <v>3.4</v>
      </c>
      <c r="M2">
        <f>G2-G3</f>
        <v>-1.75</v>
      </c>
      <c r="N2">
        <f>J2-J3</f>
        <v>-1.7200000000000002</v>
      </c>
      <c r="O2">
        <f>ABS(M2-N2)</f>
        <v>2.9999999999999805E-2</v>
      </c>
      <c r="Q2">
        <v>0.44</v>
      </c>
    </row>
    <row r="3" spans="1:17" x14ac:dyDescent="0.35">
      <c r="B3">
        <v>9</v>
      </c>
      <c r="C3" s="1" t="s">
        <v>4</v>
      </c>
      <c r="D3">
        <v>0</v>
      </c>
      <c r="E3">
        <v>0.12</v>
      </c>
      <c r="G3">
        <v>0</v>
      </c>
      <c r="H3">
        <v>0.12</v>
      </c>
      <c r="J3">
        <v>-0.36</v>
      </c>
      <c r="K3">
        <v>0.12</v>
      </c>
      <c r="M3">
        <f t="shared" ref="M3:M9" si="0">G3-G4</f>
        <v>-0.27</v>
      </c>
      <c r="N3">
        <f t="shared" ref="N3:N9" si="1">J3-J4</f>
        <v>-0.27999999999999997</v>
      </c>
      <c r="O3">
        <f t="shared" ref="O3:O10" si="2">ABS(M3-N3)</f>
        <v>9.9999999999999534E-3</v>
      </c>
      <c r="Q3">
        <v>7.0000000000000007E-2</v>
      </c>
    </row>
    <row r="4" spans="1:17" x14ac:dyDescent="0.35">
      <c r="B4">
        <v>11</v>
      </c>
      <c r="C4" t="s">
        <v>5</v>
      </c>
      <c r="D4">
        <v>0.25</v>
      </c>
      <c r="E4">
        <v>7.0000000000000007E-2</v>
      </c>
      <c r="G4">
        <v>0.27</v>
      </c>
      <c r="H4">
        <v>0.11</v>
      </c>
      <c r="J4">
        <v>-0.08</v>
      </c>
      <c r="K4">
        <v>0.11</v>
      </c>
      <c r="M4">
        <f t="shared" si="0"/>
        <v>-0.49</v>
      </c>
      <c r="N4">
        <f t="shared" si="1"/>
        <v>-0.5</v>
      </c>
      <c r="O4">
        <f t="shared" si="2"/>
        <v>1.0000000000000009E-2</v>
      </c>
      <c r="Q4">
        <v>0.05</v>
      </c>
    </row>
    <row r="5" spans="1:17" x14ac:dyDescent="0.35">
      <c r="B5">
        <v>16</v>
      </c>
      <c r="C5" t="s">
        <v>6</v>
      </c>
      <c r="D5">
        <v>0.85</v>
      </c>
      <c r="E5">
        <v>0.4</v>
      </c>
      <c r="G5">
        <v>0.76</v>
      </c>
      <c r="H5">
        <v>0.36</v>
      </c>
      <c r="J5">
        <v>0.42</v>
      </c>
      <c r="K5">
        <v>0.36</v>
      </c>
      <c r="M5">
        <f t="shared" si="0"/>
        <v>0.87</v>
      </c>
      <c r="N5">
        <f t="shared" si="1"/>
        <v>0.87</v>
      </c>
      <c r="O5">
        <f t="shared" si="2"/>
        <v>0</v>
      </c>
      <c r="Q5">
        <v>0.09</v>
      </c>
    </row>
    <row r="6" spans="1:17" x14ac:dyDescent="0.35">
      <c r="B6">
        <v>17</v>
      </c>
      <c r="C6" t="s">
        <v>13</v>
      </c>
      <c r="D6">
        <v>-7.0000000000000007E-2</v>
      </c>
      <c r="E6">
        <v>7.0000000000000007E-2</v>
      </c>
      <c r="G6">
        <v>-0.11</v>
      </c>
      <c r="H6">
        <v>0.28000000000000003</v>
      </c>
      <c r="J6">
        <v>-0.45</v>
      </c>
      <c r="K6">
        <v>0.28000000000000003</v>
      </c>
      <c r="M6">
        <f t="shared" si="0"/>
        <v>1.8999999999999997</v>
      </c>
      <c r="N6">
        <f t="shared" si="1"/>
        <v>1.9000000000000001</v>
      </c>
      <c r="O6">
        <f t="shared" si="2"/>
        <v>4.4408920985006262E-16</v>
      </c>
      <c r="Q6">
        <v>0.09</v>
      </c>
    </row>
    <row r="7" spans="1:17" x14ac:dyDescent="0.35">
      <c r="B7">
        <v>18</v>
      </c>
      <c r="C7" t="s">
        <v>7</v>
      </c>
      <c r="D7">
        <v>-1.98</v>
      </c>
      <c r="E7">
        <v>0.35</v>
      </c>
      <c r="G7">
        <v>-2.0099999999999998</v>
      </c>
      <c r="H7">
        <v>0.3</v>
      </c>
      <c r="J7">
        <v>-2.35</v>
      </c>
      <c r="K7">
        <v>0.3</v>
      </c>
      <c r="M7">
        <f t="shared" si="0"/>
        <v>-1.8699999999999997</v>
      </c>
      <c r="N7">
        <f t="shared" si="1"/>
        <v>-1.86</v>
      </c>
      <c r="O7">
        <f t="shared" si="2"/>
        <v>9.9999999999995648E-3</v>
      </c>
      <c r="Q7">
        <v>0.2</v>
      </c>
    </row>
    <row r="8" spans="1:17" x14ac:dyDescent="0.35">
      <c r="B8">
        <v>21</v>
      </c>
      <c r="C8" t="s">
        <v>8</v>
      </c>
      <c r="D8">
        <v>-0.13</v>
      </c>
      <c r="E8">
        <v>0.3</v>
      </c>
      <c r="G8">
        <v>-0.14000000000000001</v>
      </c>
      <c r="H8">
        <v>0.42</v>
      </c>
      <c r="J8">
        <v>-0.49</v>
      </c>
      <c r="K8">
        <v>0.42</v>
      </c>
      <c r="M8">
        <f t="shared" si="0"/>
        <v>-1.75</v>
      </c>
      <c r="N8">
        <f t="shared" si="1"/>
        <v>-1.8</v>
      </c>
      <c r="O8">
        <f t="shared" si="2"/>
        <v>5.0000000000000044E-2</v>
      </c>
      <c r="Q8">
        <v>0.12</v>
      </c>
    </row>
    <row r="9" spans="1:17" x14ac:dyDescent="0.35">
      <c r="B9">
        <v>22</v>
      </c>
      <c r="C9" t="s">
        <v>9</v>
      </c>
      <c r="D9">
        <v>1.1599999999999999</v>
      </c>
      <c r="E9">
        <v>0.12</v>
      </c>
      <c r="G9">
        <v>1.61</v>
      </c>
      <c r="H9">
        <v>0.1</v>
      </c>
      <c r="J9">
        <v>1.31</v>
      </c>
      <c r="K9">
        <v>0.1</v>
      </c>
      <c r="M9">
        <f t="shared" si="0"/>
        <v>1.28</v>
      </c>
      <c r="N9">
        <f t="shared" si="1"/>
        <v>1.33</v>
      </c>
      <c r="O9">
        <f t="shared" si="2"/>
        <v>5.0000000000000044E-2</v>
      </c>
      <c r="Q9">
        <v>0.05</v>
      </c>
    </row>
    <row r="10" spans="1:17" x14ac:dyDescent="0.35">
      <c r="B10">
        <v>29</v>
      </c>
      <c r="C10" t="s">
        <v>10</v>
      </c>
      <c r="D10">
        <v>0.43</v>
      </c>
      <c r="E10">
        <v>0.06</v>
      </c>
      <c r="G10">
        <v>0.33</v>
      </c>
      <c r="H10">
        <v>0.18</v>
      </c>
      <c r="J10">
        <v>-0.02</v>
      </c>
      <c r="K10">
        <v>0.18</v>
      </c>
      <c r="M10">
        <f>G10-G2</f>
        <v>2.08</v>
      </c>
      <c r="N10">
        <f>J10-J2</f>
        <v>2.06</v>
      </c>
      <c r="O10">
        <f t="shared" si="2"/>
        <v>2.0000000000000018E-2</v>
      </c>
      <c r="Q10">
        <v>0.08</v>
      </c>
    </row>
    <row r="12" spans="1:17" x14ac:dyDescent="0.35">
      <c r="A12" t="s">
        <v>14</v>
      </c>
      <c r="B12">
        <v>1</v>
      </c>
      <c r="C12" t="s">
        <v>15</v>
      </c>
      <c r="D12">
        <v>-0.63</v>
      </c>
      <c r="E12">
        <v>0.63</v>
      </c>
      <c r="G12">
        <v>0.56000000000000005</v>
      </c>
      <c r="H12">
        <v>0.54</v>
      </c>
      <c r="J12">
        <v>-0.05</v>
      </c>
      <c r="K12">
        <v>0.54</v>
      </c>
      <c r="M12">
        <f>G12-G13</f>
        <v>-0.25</v>
      </c>
      <c r="N12">
        <f>J12-J13</f>
        <v>-0.25</v>
      </c>
      <c r="O12">
        <f>ABS(M12-N12)</f>
        <v>0</v>
      </c>
      <c r="Q12">
        <v>0.11</v>
      </c>
    </row>
    <row r="13" spans="1:17" x14ac:dyDescent="0.35">
      <c r="B13">
        <v>2</v>
      </c>
      <c r="C13" t="s">
        <v>16</v>
      </c>
      <c r="D13">
        <v>0.27</v>
      </c>
      <c r="E13">
        <v>1.04</v>
      </c>
      <c r="G13">
        <v>0.81</v>
      </c>
      <c r="H13">
        <v>0.51</v>
      </c>
      <c r="J13">
        <v>0.2</v>
      </c>
      <c r="K13">
        <v>0.51</v>
      </c>
      <c r="M13">
        <f t="shared" ref="M13:M19" si="3">G13-G14</f>
        <v>0.34000000000000008</v>
      </c>
      <c r="N13">
        <f t="shared" ref="N13:N19" si="4">J13-J14</f>
        <v>0.33</v>
      </c>
      <c r="O13">
        <f t="shared" ref="O13:O19" si="5">ABS(M13-N13)</f>
        <v>1.0000000000000064E-2</v>
      </c>
      <c r="Q13">
        <v>0.09</v>
      </c>
    </row>
    <row r="14" spans="1:17" x14ac:dyDescent="0.35">
      <c r="B14">
        <v>3</v>
      </c>
      <c r="C14" t="s">
        <v>11</v>
      </c>
      <c r="D14">
        <v>0.49</v>
      </c>
      <c r="E14">
        <v>0.59</v>
      </c>
      <c r="G14">
        <v>0.47</v>
      </c>
      <c r="H14">
        <v>0.4</v>
      </c>
      <c r="J14">
        <v>-0.13</v>
      </c>
      <c r="K14">
        <v>0.4</v>
      </c>
      <c r="M14">
        <f t="shared" si="3"/>
        <v>-0.48</v>
      </c>
      <c r="N14">
        <f t="shared" si="4"/>
        <v>-0.47000000000000003</v>
      </c>
      <c r="O14">
        <f t="shared" si="5"/>
        <v>9.9999999999999534E-3</v>
      </c>
      <c r="Q14">
        <v>0.08</v>
      </c>
    </row>
    <row r="15" spans="1:17" x14ac:dyDescent="0.35">
      <c r="B15">
        <v>4</v>
      </c>
      <c r="C15" t="s">
        <v>17</v>
      </c>
      <c r="D15">
        <v>0.59</v>
      </c>
      <c r="E15">
        <v>0.3</v>
      </c>
      <c r="G15">
        <v>0.95</v>
      </c>
      <c r="H15">
        <v>0.41</v>
      </c>
      <c r="J15">
        <v>0.34</v>
      </c>
      <c r="K15">
        <v>0.41</v>
      </c>
      <c r="M15">
        <f t="shared" si="3"/>
        <v>0.87999999999999989</v>
      </c>
      <c r="N15">
        <f t="shared" si="4"/>
        <v>0.87000000000000011</v>
      </c>
      <c r="O15">
        <f t="shared" si="5"/>
        <v>9.9999999999997868E-3</v>
      </c>
      <c r="Q15">
        <v>0.08</v>
      </c>
    </row>
    <row r="16" spans="1:17" x14ac:dyDescent="0.35">
      <c r="B16">
        <v>7</v>
      </c>
      <c r="C16" t="s">
        <v>18</v>
      </c>
      <c r="D16">
        <v>0.3</v>
      </c>
      <c r="E16">
        <v>0.42</v>
      </c>
      <c r="G16">
        <v>7.0000000000000007E-2</v>
      </c>
      <c r="H16">
        <v>0.36</v>
      </c>
      <c r="J16">
        <v>-0.53</v>
      </c>
      <c r="K16">
        <v>0.36</v>
      </c>
      <c r="M16">
        <f t="shared" si="3"/>
        <v>-0.19</v>
      </c>
      <c r="N16">
        <f t="shared" si="4"/>
        <v>-0.19</v>
      </c>
      <c r="O16">
        <f t="shared" si="5"/>
        <v>0</v>
      </c>
      <c r="Q16">
        <v>0.09</v>
      </c>
    </row>
    <row r="17" spans="1:17" x14ac:dyDescent="0.35">
      <c r="B17">
        <v>8</v>
      </c>
      <c r="C17" t="s">
        <v>19</v>
      </c>
      <c r="D17">
        <v>-0.6</v>
      </c>
      <c r="E17">
        <v>0.43</v>
      </c>
      <c r="G17">
        <v>0.26</v>
      </c>
      <c r="H17">
        <v>0.3</v>
      </c>
      <c r="J17">
        <v>-0.34</v>
      </c>
      <c r="K17">
        <v>0.3</v>
      </c>
      <c r="M17">
        <f t="shared" si="3"/>
        <v>0.26</v>
      </c>
      <c r="N17">
        <f t="shared" si="4"/>
        <v>0.27999999999999997</v>
      </c>
      <c r="O17">
        <f t="shared" si="5"/>
        <v>1.9999999999999962E-2</v>
      </c>
      <c r="Q17">
        <v>0.09</v>
      </c>
    </row>
    <row r="18" spans="1:17" x14ac:dyDescent="0.35">
      <c r="B18">
        <v>9</v>
      </c>
      <c r="C18" s="1" t="s">
        <v>4</v>
      </c>
      <c r="D18">
        <v>0</v>
      </c>
      <c r="E18">
        <v>0.32</v>
      </c>
      <c r="G18">
        <v>0</v>
      </c>
      <c r="H18">
        <v>0.27</v>
      </c>
      <c r="J18">
        <v>-0.62</v>
      </c>
      <c r="K18">
        <v>0.27</v>
      </c>
      <c r="M18">
        <f t="shared" si="3"/>
        <v>-0.84</v>
      </c>
      <c r="N18">
        <f t="shared" si="4"/>
        <v>-0.81</v>
      </c>
      <c r="O18">
        <f t="shared" si="5"/>
        <v>2.9999999999999916E-2</v>
      </c>
      <c r="Q18">
        <v>0.08</v>
      </c>
    </row>
    <row r="19" spans="1:17" x14ac:dyDescent="0.35">
      <c r="B19">
        <v>10</v>
      </c>
      <c r="C19" t="s">
        <v>20</v>
      </c>
      <c r="D19">
        <v>-0.34</v>
      </c>
      <c r="E19">
        <v>0.18</v>
      </c>
      <c r="G19">
        <v>0.84</v>
      </c>
      <c r="H19">
        <v>0.13</v>
      </c>
      <c r="J19">
        <v>0.19</v>
      </c>
      <c r="K19">
        <v>0.13</v>
      </c>
      <c r="M19">
        <f t="shared" si="3"/>
        <v>-0.56999999999999995</v>
      </c>
      <c r="N19">
        <f t="shared" si="4"/>
        <v>-0.60000000000000009</v>
      </c>
      <c r="O19">
        <f t="shared" si="5"/>
        <v>3.0000000000000138E-2</v>
      </c>
      <c r="Q19">
        <v>0.05</v>
      </c>
    </row>
    <row r="20" spans="1:17" x14ac:dyDescent="0.35">
      <c r="B20">
        <v>11</v>
      </c>
      <c r="C20" t="s">
        <v>5</v>
      </c>
      <c r="D20">
        <v>0.56999999999999995</v>
      </c>
      <c r="E20">
        <v>1.22</v>
      </c>
      <c r="G20">
        <v>1.41</v>
      </c>
      <c r="H20">
        <v>1.1000000000000001</v>
      </c>
      <c r="J20">
        <v>0.79</v>
      </c>
      <c r="K20">
        <v>1.1000000000000001</v>
      </c>
      <c r="M20">
        <f t="shared" ref="M20" si="6">G20-G21</f>
        <v>-0.21999999999999997</v>
      </c>
      <c r="N20">
        <f t="shared" ref="N20" si="7">J20-J21</f>
        <v>-0.20999999999999996</v>
      </c>
      <c r="O20">
        <f t="shared" ref="O20:O21" si="8">ABS(M20-N20)</f>
        <v>1.0000000000000009E-2</v>
      </c>
      <c r="Q20">
        <v>0.14000000000000001</v>
      </c>
    </row>
    <row r="21" spans="1:17" x14ac:dyDescent="0.35">
      <c r="B21">
        <v>19</v>
      </c>
      <c r="C21" t="s">
        <v>21</v>
      </c>
      <c r="D21">
        <v>0.55000000000000004</v>
      </c>
      <c r="E21">
        <v>0.31</v>
      </c>
      <c r="G21">
        <v>1.63</v>
      </c>
      <c r="H21">
        <v>0.24</v>
      </c>
      <c r="J21">
        <v>1</v>
      </c>
      <c r="K21">
        <v>0.24</v>
      </c>
      <c r="M21">
        <f>G21-G12</f>
        <v>1.0699999999999998</v>
      </c>
      <c r="N21">
        <f>J21-J12</f>
        <v>1.05</v>
      </c>
      <c r="O21">
        <f t="shared" si="8"/>
        <v>1.9999999999999796E-2</v>
      </c>
      <c r="Q21">
        <v>0.06</v>
      </c>
    </row>
    <row r="23" spans="1:17" x14ac:dyDescent="0.35">
      <c r="A23" t="s">
        <v>22</v>
      </c>
      <c r="B23">
        <v>9</v>
      </c>
      <c r="C23" s="1" t="s">
        <v>4</v>
      </c>
      <c r="D23">
        <v>0</v>
      </c>
      <c r="E23">
        <v>0.06</v>
      </c>
      <c r="G23">
        <v>0</v>
      </c>
      <c r="H23">
        <v>0.09</v>
      </c>
      <c r="J23">
        <v>-0.11</v>
      </c>
      <c r="K23">
        <v>0.09</v>
      </c>
      <c r="M23">
        <f>G23-G24</f>
        <v>-0.53</v>
      </c>
      <c r="N23">
        <f>J23-J24</f>
        <v>-0.53</v>
      </c>
      <c r="O23">
        <f>ABS(M23-N23)</f>
        <v>0</v>
      </c>
      <c r="Q23">
        <v>0.05</v>
      </c>
    </row>
    <row r="24" spans="1:17" x14ac:dyDescent="0.35">
      <c r="B24">
        <v>11</v>
      </c>
      <c r="C24" t="s">
        <v>5</v>
      </c>
      <c r="D24">
        <v>0.84</v>
      </c>
      <c r="E24">
        <v>0.02</v>
      </c>
      <c r="G24">
        <v>0.53</v>
      </c>
      <c r="H24">
        <v>7.0000000000000007E-2</v>
      </c>
      <c r="J24">
        <v>0.42</v>
      </c>
      <c r="K24">
        <v>7.0000000000000007E-2</v>
      </c>
      <c r="M24">
        <f t="shared" ref="M24:M29" si="9">G24-G25</f>
        <v>1.77</v>
      </c>
      <c r="N24">
        <f t="shared" ref="N24:N29" si="10">J24-J25</f>
        <v>1.74</v>
      </c>
      <c r="O24">
        <f t="shared" ref="O24:O30" si="11">ABS(M24-N24)</f>
        <v>3.0000000000000027E-2</v>
      </c>
      <c r="Q24">
        <v>0.04</v>
      </c>
    </row>
    <row r="25" spans="1:17" x14ac:dyDescent="0.35">
      <c r="B25">
        <v>14</v>
      </c>
      <c r="C25" t="s">
        <v>23</v>
      </c>
      <c r="D25">
        <v>-0.93</v>
      </c>
      <c r="E25">
        <v>0.08</v>
      </c>
      <c r="G25">
        <v>-1.24</v>
      </c>
      <c r="H25">
        <v>0.11</v>
      </c>
      <c r="J25">
        <v>-1.32</v>
      </c>
      <c r="K25">
        <v>0.11</v>
      </c>
      <c r="M25">
        <f t="shared" si="9"/>
        <v>-1.07</v>
      </c>
      <c r="N25">
        <f t="shared" si="10"/>
        <v>-1.05</v>
      </c>
      <c r="O25">
        <f t="shared" si="11"/>
        <v>2.0000000000000018E-2</v>
      </c>
      <c r="Q25">
        <v>0.1</v>
      </c>
    </row>
    <row r="26" spans="1:17" x14ac:dyDescent="0.35">
      <c r="B26">
        <v>15</v>
      </c>
      <c r="C26" t="s">
        <v>24</v>
      </c>
      <c r="D26">
        <v>-7.0000000000000007E-2</v>
      </c>
      <c r="E26">
        <v>0.16</v>
      </c>
      <c r="G26">
        <v>-0.17</v>
      </c>
      <c r="H26">
        <v>0.15</v>
      </c>
      <c r="J26">
        <v>-0.27</v>
      </c>
      <c r="K26">
        <v>0.15</v>
      </c>
      <c r="M26">
        <f t="shared" si="9"/>
        <v>-0.54</v>
      </c>
      <c r="N26">
        <f t="shared" si="10"/>
        <v>-0.54</v>
      </c>
      <c r="O26">
        <f t="shared" si="11"/>
        <v>0</v>
      </c>
      <c r="Q26">
        <v>7.0000000000000007E-2</v>
      </c>
    </row>
    <row r="27" spans="1:17" x14ac:dyDescent="0.35">
      <c r="B27">
        <v>16</v>
      </c>
      <c r="C27" t="s">
        <v>6</v>
      </c>
      <c r="D27">
        <v>1.1599999999999999</v>
      </c>
      <c r="E27">
        <v>0.06</v>
      </c>
      <c r="G27">
        <v>0.37</v>
      </c>
      <c r="H27">
        <v>0.1</v>
      </c>
      <c r="J27">
        <v>0.27</v>
      </c>
      <c r="K27">
        <v>0.1</v>
      </c>
      <c r="M27">
        <f t="shared" si="9"/>
        <v>0.33999999999999997</v>
      </c>
      <c r="N27">
        <f t="shared" si="10"/>
        <v>0.34</v>
      </c>
      <c r="O27">
        <f t="shared" si="11"/>
        <v>5.5511151231257827E-17</v>
      </c>
      <c r="Q27">
        <v>0.04</v>
      </c>
    </row>
    <row r="28" spans="1:17" x14ac:dyDescent="0.35">
      <c r="B28">
        <v>21</v>
      </c>
      <c r="C28" t="s">
        <v>8</v>
      </c>
      <c r="D28">
        <v>0.13</v>
      </c>
      <c r="E28">
        <v>0.14000000000000001</v>
      </c>
      <c r="G28">
        <v>0.03</v>
      </c>
      <c r="H28">
        <v>0.16</v>
      </c>
      <c r="J28">
        <v>-7.0000000000000007E-2</v>
      </c>
      <c r="K28">
        <v>0.16</v>
      </c>
      <c r="M28">
        <f t="shared" si="9"/>
        <v>0</v>
      </c>
      <c r="N28">
        <f t="shared" si="10"/>
        <v>0</v>
      </c>
      <c r="O28">
        <f t="shared" si="11"/>
        <v>0</v>
      </c>
      <c r="Q28">
        <v>0.06</v>
      </c>
    </row>
    <row r="29" spans="1:17" x14ac:dyDescent="0.35">
      <c r="B29">
        <v>22</v>
      </c>
      <c r="C29" t="s">
        <v>9</v>
      </c>
      <c r="D29">
        <v>-0.13</v>
      </c>
      <c r="E29">
        <v>0.75</v>
      </c>
      <c r="G29">
        <v>0.03</v>
      </c>
      <c r="H29">
        <v>0.79</v>
      </c>
      <c r="J29">
        <v>-7.0000000000000007E-2</v>
      </c>
      <c r="K29">
        <v>0.79</v>
      </c>
      <c r="M29">
        <f t="shared" si="9"/>
        <v>-0.59</v>
      </c>
      <c r="N29">
        <f t="shared" si="10"/>
        <v>-0.58000000000000007</v>
      </c>
      <c r="O29">
        <f t="shared" si="11"/>
        <v>9.9999999999998979E-3</v>
      </c>
      <c r="Q29">
        <v>0.14000000000000001</v>
      </c>
    </row>
    <row r="30" spans="1:17" x14ac:dyDescent="0.35">
      <c r="B30">
        <v>23</v>
      </c>
      <c r="C30" t="s">
        <v>25</v>
      </c>
      <c r="D30">
        <v>0.41</v>
      </c>
      <c r="E30">
        <v>6.9999999999999999E-4</v>
      </c>
      <c r="G30">
        <v>0.62</v>
      </c>
      <c r="H30">
        <v>0.04</v>
      </c>
      <c r="J30">
        <v>0.51</v>
      </c>
      <c r="K30">
        <v>0.04</v>
      </c>
      <c r="M30">
        <f>G30-G23</f>
        <v>0.62</v>
      </c>
      <c r="N30">
        <f>J30-J23</f>
        <v>0.62</v>
      </c>
      <c r="O30">
        <f t="shared" si="11"/>
        <v>0</v>
      </c>
      <c r="Q30">
        <v>0.03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6EEEC-6E47-4ABB-93FD-D263C298AAF2}">
  <dimension ref="A1:F30"/>
  <sheetViews>
    <sheetView tabSelected="1" workbookViewId="0">
      <selection sqref="A1:F30"/>
    </sheetView>
  </sheetViews>
  <sheetFormatPr defaultRowHeight="14.5" x14ac:dyDescent="0.35"/>
  <cols>
    <col min="1" max="1" width="10" bestFit="1" customWidth="1"/>
    <col min="2" max="2" width="75.453125" bestFit="1" customWidth="1"/>
    <col min="3" max="3" width="9.54296875" bestFit="1" customWidth="1"/>
  </cols>
  <sheetData>
    <row r="1" spans="1:6" x14ac:dyDescent="0.35">
      <c r="A1" t="s">
        <v>27</v>
      </c>
      <c r="B1" t="s">
        <v>26</v>
      </c>
      <c r="C1" t="s">
        <v>2</v>
      </c>
      <c r="D1" t="s">
        <v>3</v>
      </c>
      <c r="E1" t="s">
        <v>35</v>
      </c>
      <c r="F1" t="s">
        <v>37</v>
      </c>
    </row>
    <row r="2" spans="1:6" x14ac:dyDescent="0.35">
      <c r="A2" t="s">
        <v>0</v>
      </c>
      <c r="B2" t="s">
        <v>11</v>
      </c>
      <c r="C2">
        <v>-2.08</v>
      </c>
      <c r="D2">
        <v>3.4</v>
      </c>
      <c r="E2" s="2">
        <f>1/D2</f>
        <v>0.29411764705882354</v>
      </c>
      <c r="F2">
        <v>0.44</v>
      </c>
    </row>
    <row r="3" spans="1:6" x14ac:dyDescent="0.35">
      <c r="B3" s="1" t="s">
        <v>4</v>
      </c>
      <c r="C3">
        <v>-0.36</v>
      </c>
      <c r="D3">
        <v>0.12</v>
      </c>
      <c r="E3" s="2">
        <f t="shared" ref="E3:E10" si="0">1/D3</f>
        <v>8.3333333333333339</v>
      </c>
      <c r="F3">
        <v>7.0000000000000007E-2</v>
      </c>
    </row>
    <row r="4" spans="1:6" x14ac:dyDescent="0.35">
      <c r="B4" t="s">
        <v>5</v>
      </c>
      <c r="C4">
        <v>-0.08</v>
      </c>
      <c r="D4">
        <v>0.11</v>
      </c>
      <c r="E4" s="2">
        <f t="shared" si="0"/>
        <v>9.0909090909090917</v>
      </c>
      <c r="F4">
        <v>0.05</v>
      </c>
    </row>
    <row r="5" spans="1:6" x14ac:dyDescent="0.35">
      <c r="B5" t="s">
        <v>6</v>
      </c>
      <c r="C5">
        <v>0.42</v>
      </c>
      <c r="D5">
        <v>0.36</v>
      </c>
      <c r="E5" s="2">
        <f t="shared" si="0"/>
        <v>2.7777777777777777</v>
      </c>
      <c r="F5">
        <v>0.09</v>
      </c>
    </row>
    <row r="6" spans="1:6" x14ac:dyDescent="0.35">
      <c r="B6" t="s">
        <v>13</v>
      </c>
      <c r="C6">
        <v>-0.45</v>
      </c>
      <c r="D6">
        <v>0.28000000000000003</v>
      </c>
      <c r="E6" s="2">
        <f t="shared" si="0"/>
        <v>3.5714285714285712</v>
      </c>
      <c r="F6">
        <v>0.09</v>
      </c>
    </row>
    <row r="7" spans="1:6" x14ac:dyDescent="0.35">
      <c r="B7" t="s">
        <v>7</v>
      </c>
      <c r="C7">
        <v>-2.35</v>
      </c>
      <c r="D7">
        <v>0.3</v>
      </c>
      <c r="E7" s="2">
        <f t="shared" si="0"/>
        <v>3.3333333333333335</v>
      </c>
      <c r="F7">
        <v>0.2</v>
      </c>
    </row>
    <row r="8" spans="1:6" x14ac:dyDescent="0.35">
      <c r="B8" t="s">
        <v>8</v>
      </c>
      <c r="C8">
        <v>-0.49</v>
      </c>
      <c r="D8">
        <v>0.42</v>
      </c>
      <c r="E8" s="2">
        <f t="shared" si="0"/>
        <v>2.3809523809523809</v>
      </c>
      <c r="F8">
        <v>0.12</v>
      </c>
    </row>
    <row r="9" spans="1:6" x14ac:dyDescent="0.35">
      <c r="B9" t="s">
        <v>9</v>
      </c>
      <c r="C9">
        <v>1.31</v>
      </c>
      <c r="D9">
        <v>0.1</v>
      </c>
      <c r="E9" s="2">
        <f t="shared" si="0"/>
        <v>10</v>
      </c>
      <c r="F9">
        <v>0.05</v>
      </c>
    </row>
    <row r="10" spans="1:6" x14ac:dyDescent="0.35">
      <c r="B10" t="s">
        <v>10</v>
      </c>
      <c r="C10">
        <v>-0.02</v>
      </c>
      <c r="D10">
        <v>0.18</v>
      </c>
      <c r="E10" s="2">
        <f t="shared" si="0"/>
        <v>5.5555555555555554</v>
      </c>
      <c r="F10">
        <v>0.08</v>
      </c>
    </row>
    <row r="11" spans="1:6" x14ac:dyDescent="0.35">
      <c r="E11" s="2"/>
    </row>
    <row r="12" spans="1:6" x14ac:dyDescent="0.35">
      <c r="A12" t="s">
        <v>14</v>
      </c>
      <c r="B12" t="s">
        <v>15</v>
      </c>
      <c r="C12">
        <v>-0.05</v>
      </c>
      <c r="D12">
        <v>0.54</v>
      </c>
      <c r="E12" s="2">
        <f t="shared" ref="E12:E21" si="1">1/D12</f>
        <v>1.8518518518518516</v>
      </c>
      <c r="F12">
        <v>0.11</v>
      </c>
    </row>
    <row r="13" spans="1:6" x14ac:dyDescent="0.35">
      <c r="B13" t="s">
        <v>16</v>
      </c>
      <c r="C13">
        <v>0.2</v>
      </c>
      <c r="D13">
        <v>0.51</v>
      </c>
      <c r="E13" s="2">
        <f t="shared" si="1"/>
        <v>1.9607843137254901</v>
      </c>
      <c r="F13">
        <v>0.09</v>
      </c>
    </row>
    <row r="14" spans="1:6" x14ac:dyDescent="0.35">
      <c r="B14" t="s">
        <v>11</v>
      </c>
      <c r="C14">
        <v>-0.13</v>
      </c>
      <c r="D14">
        <v>0.4</v>
      </c>
      <c r="E14" s="2">
        <f t="shared" si="1"/>
        <v>2.5</v>
      </c>
      <c r="F14">
        <v>0.08</v>
      </c>
    </row>
    <row r="15" spans="1:6" x14ac:dyDescent="0.35">
      <c r="B15" t="s">
        <v>17</v>
      </c>
      <c r="C15">
        <v>0.34</v>
      </c>
      <c r="D15">
        <v>0.41</v>
      </c>
      <c r="E15" s="2">
        <f t="shared" si="1"/>
        <v>2.4390243902439024</v>
      </c>
      <c r="F15">
        <v>0.08</v>
      </c>
    </row>
    <row r="16" spans="1:6" x14ac:dyDescent="0.35">
      <c r="B16" t="s">
        <v>18</v>
      </c>
      <c r="C16">
        <v>-0.53</v>
      </c>
      <c r="D16">
        <v>0.36</v>
      </c>
      <c r="E16" s="2">
        <f t="shared" si="1"/>
        <v>2.7777777777777777</v>
      </c>
      <c r="F16">
        <v>0.09</v>
      </c>
    </row>
    <row r="17" spans="1:6" x14ac:dyDescent="0.35">
      <c r="B17" t="s">
        <v>19</v>
      </c>
      <c r="C17">
        <v>-0.34</v>
      </c>
      <c r="D17">
        <v>0.3</v>
      </c>
      <c r="E17" s="2">
        <f t="shared" si="1"/>
        <v>3.3333333333333335</v>
      </c>
      <c r="F17">
        <v>0.09</v>
      </c>
    </row>
    <row r="18" spans="1:6" x14ac:dyDescent="0.35">
      <c r="B18" s="1" t="s">
        <v>4</v>
      </c>
      <c r="C18">
        <v>-0.62</v>
      </c>
      <c r="D18">
        <v>0.27</v>
      </c>
      <c r="E18" s="2">
        <f t="shared" si="1"/>
        <v>3.7037037037037033</v>
      </c>
      <c r="F18">
        <v>0.08</v>
      </c>
    </row>
    <row r="19" spans="1:6" x14ac:dyDescent="0.35">
      <c r="B19" t="s">
        <v>20</v>
      </c>
      <c r="C19">
        <v>0.19</v>
      </c>
      <c r="D19">
        <v>0.13</v>
      </c>
      <c r="E19" s="2">
        <f t="shared" si="1"/>
        <v>7.6923076923076916</v>
      </c>
      <c r="F19">
        <v>0.05</v>
      </c>
    </row>
    <row r="20" spans="1:6" x14ac:dyDescent="0.35">
      <c r="B20" t="s">
        <v>5</v>
      </c>
      <c r="C20">
        <v>0.79</v>
      </c>
      <c r="D20">
        <v>1.1000000000000001</v>
      </c>
      <c r="E20" s="2">
        <f t="shared" si="1"/>
        <v>0.90909090909090906</v>
      </c>
      <c r="F20">
        <v>0.14000000000000001</v>
      </c>
    </row>
    <row r="21" spans="1:6" x14ac:dyDescent="0.35">
      <c r="B21" t="s">
        <v>21</v>
      </c>
      <c r="C21">
        <v>1</v>
      </c>
      <c r="D21">
        <v>0.24</v>
      </c>
      <c r="E21" s="2">
        <f t="shared" si="1"/>
        <v>4.166666666666667</v>
      </c>
      <c r="F21">
        <v>0.06</v>
      </c>
    </row>
    <row r="22" spans="1:6" x14ac:dyDescent="0.35">
      <c r="E22" s="2"/>
    </row>
    <row r="23" spans="1:6" x14ac:dyDescent="0.35">
      <c r="A23" t="s">
        <v>22</v>
      </c>
      <c r="B23" s="1" t="s">
        <v>4</v>
      </c>
      <c r="C23">
        <v>-0.11</v>
      </c>
      <c r="D23">
        <v>0.09</v>
      </c>
      <c r="E23" s="2">
        <f t="shared" ref="E23:E30" si="2">1/D23</f>
        <v>11.111111111111111</v>
      </c>
      <c r="F23">
        <v>0.05</v>
      </c>
    </row>
    <row r="24" spans="1:6" x14ac:dyDescent="0.35">
      <c r="B24" t="s">
        <v>5</v>
      </c>
      <c r="C24">
        <v>0.42</v>
      </c>
      <c r="D24">
        <v>7.0000000000000007E-2</v>
      </c>
      <c r="E24" s="2">
        <f t="shared" si="2"/>
        <v>14.285714285714285</v>
      </c>
      <c r="F24">
        <v>0.04</v>
      </c>
    </row>
    <row r="25" spans="1:6" x14ac:dyDescent="0.35">
      <c r="B25" t="s">
        <v>23</v>
      </c>
      <c r="C25">
        <v>-1.32</v>
      </c>
      <c r="D25">
        <v>0.11</v>
      </c>
      <c r="E25" s="2">
        <f t="shared" si="2"/>
        <v>9.0909090909090917</v>
      </c>
      <c r="F25">
        <v>0.1</v>
      </c>
    </row>
    <row r="26" spans="1:6" x14ac:dyDescent="0.35">
      <c r="B26" t="s">
        <v>24</v>
      </c>
      <c r="C26">
        <v>-0.27</v>
      </c>
      <c r="D26">
        <v>0.15</v>
      </c>
      <c r="E26" s="2">
        <f t="shared" si="2"/>
        <v>6.666666666666667</v>
      </c>
      <c r="F26">
        <v>7.0000000000000007E-2</v>
      </c>
    </row>
    <row r="27" spans="1:6" x14ac:dyDescent="0.35">
      <c r="B27" t="s">
        <v>6</v>
      </c>
      <c r="C27">
        <v>0.27</v>
      </c>
      <c r="D27">
        <v>0.1</v>
      </c>
      <c r="E27" s="2">
        <f t="shared" si="2"/>
        <v>10</v>
      </c>
      <c r="F27">
        <v>0.04</v>
      </c>
    </row>
    <row r="28" spans="1:6" x14ac:dyDescent="0.35">
      <c r="B28" t="s">
        <v>8</v>
      </c>
      <c r="C28">
        <v>-7.0000000000000007E-2</v>
      </c>
      <c r="D28">
        <v>0.16</v>
      </c>
      <c r="E28" s="2">
        <f t="shared" si="2"/>
        <v>6.25</v>
      </c>
      <c r="F28">
        <v>0.06</v>
      </c>
    </row>
    <row r="29" spans="1:6" x14ac:dyDescent="0.35">
      <c r="B29" t="s">
        <v>9</v>
      </c>
      <c r="C29">
        <v>-7.0000000000000007E-2</v>
      </c>
      <c r="D29">
        <v>0.79</v>
      </c>
      <c r="E29" s="2">
        <f t="shared" si="2"/>
        <v>1.2658227848101264</v>
      </c>
      <c r="F29">
        <v>0.14000000000000001</v>
      </c>
    </row>
    <row r="30" spans="1:6" x14ac:dyDescent="0.35">
      <c r="B30" t="s">
        <v>25</v>
      </c>
      <c r="C30">
        <v>0.51</v>
      </c>
      <c r="D30">
        <v>0.04</v>
      </c>
      <c r="E30" s="2">
        <f t="shared" si="2"/>
        <v>25</v>
      </c>
      <c r="F30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McGreal</dc:creator>
  <cp:lastModifiedBy>Brian E McGreal</cp:lastModifiedBy>
  <dcterms:created xsi:type="dcterms:W3CDTF">2026-08-11T00:12:53Z</dcterms:created>
  <dcterms:modified xsi:type="dcterms:W3CDTF">2026-10-12T18:59:32Z</dcterms:modified>
</cp:coreProperties>
</file>